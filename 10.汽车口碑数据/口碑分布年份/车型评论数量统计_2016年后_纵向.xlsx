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40" windowHeight="5447" firstSheet="1" activeTab="1"/>
  </bookViews>
  <sheets>
    <sheet name="车型评论数量统计_2016年后_纵向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<sst xmlns="http://schemas.openxmlformats.org/spreadsheetml/2006/main" count="28" uniqueCount="23">
  <si>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车型完整名称</t>
  </si>
  <si>
    <t>总计</t>
  </si>
  <si>
    <t>腾势D9</t>
  </si>
  <si>
    <t>别克GL8</t>
  </si>
  <si>
    <t>岚图梦想家</t>
  </si>
  <si>
    <t>奥德赛</t>
  </si>
  <si>
    <t>艾力绅</t>
  </si>
  <si>
    <t>赛那SIENNA</t>
  </si>
  <si>
    <t>魏牌 高山</t>
  </si>
  <si>
    <t>小鹏X9</t>
  </si>
  <si>
    <t>极氪009</t>
  </si>
  <si>
    <t>别克GL8新能源</t>
  </si>
  <si>
    <t>理想MEGA</t>
  </si>
  <si>
    <t>车型名称</t>
  </si>
  <si>
    <t>2022年后评论数</t>
  </si>
  <si>
    <t>平均字数</t>
  </si>
  <si>
    <r>
      <t>腾势</t>
    </r>
    <r>
      <rPr>
        <sz val="10"/>
        <color rgb="FF000000"/>
        <rFont val="微软雅黑"/>
        <charset val="0"/>
      </rPr>
      <t>D9</t>
    </r>
  </si>
  <si>
    <r>
      <t>别克</t>
    </r>
    <r>
      <rPr>
        <sz val="10"/>
        <color rgb="FF000000"/>
        <rFont val="微软雅黑"/>
        <charset val="0"/>
      </rPr>
      <t>GL8</t>
    </r>
  </si>
  <si>
    <r>
      <t>赛那</t>
    </r>
    <r>
      <rPr>
        <sz val="10"/>
        <color rgb="FF000000"/>
        <rFont val="微软雅黑"/>
        <charset val="0"/>
      </rPr>
      <t>SIENNA</t>
    </r>
  </si>
  <si>
    <r>
      <t>小鹏</t>
    </r>
    <r>
      <rPr>
        <sz val="10"/>
        <color rgb="FF000000"/>
        <rFont val="微软雅黑"/>
        <charset val="0"/>
      </rPr>
      <t>X9</t>
    </r>
  </si>
  <si>
    <r>
      <t>极氪</t>
    </r>
    <r>
      <rPr>
        <sz val="10"/>
        <color rgb="FF000000"/>
        <rFont val="微软雅黑"/>
        <charset val="0"/>
      </rPr>
      <t>009</t>
    </r>
  </si>
  <si>
    <r>
      <t>别克</t>
    </r>
    <r>
      <rPr>
        <sz val="10"/>
        <color rgb="FF000000"/>
        <rFont val="微软雅黑"/>
        <charset val="0"/>
      </rPr>
      <t>GL8</t>
    </r>
    <r>
      <rPr>
        <sz val="10"/>
        <color rgb="FF000000"/>
        <rFont val="微软雅黑"/>
        <charset val="0"/>
      </rPr>
      <t>新能源</t>
    </r>
  </si>
  <si>
    <r>
      <t>理想</t>
    </r>
    <r>
      <rPr>
        <sz val="10"/>
        <color rgb="FF000000"/>
        <rFont val="微软雅黑"/>
        <charset val="0"/>
      </rPr>
      <t>MEGA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</si>
</sst>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微软雅黑"/>
      <charset val="0"/>
    </font>
    <font>
      <sz val="11"/>
      <color rgb="FF000000"/>
      <name val="微软雅黑"/>
      <charset val="0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BF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>
        <v>2025</v>
      </c>
      <c r="C1">
        <v>2022</v>
      </c>
      <c r="D1">
        <v>2024</v>
      </c>
      <c r="E1">
        <v>2023</v>
      </c>
      <c r="F1">
        <v>2018</v>
      </c>
      <c r="G1">
        <v>2017</v>
      </c>
      <c r="H1">
        <v>2016</v>
      </c>
      <c r="I1">
        <v>2021</v>
      </c>
      <c r="J1">
        <v>2020</v>
      </c>
      <c r="K1">
        <v>2019</v>
      </c>
      <c r="L1">
        <v>2026</v>
      </c>
      <c r="M1" t="s">
        <v>1</v>
      </c>
    </row>
    <row r="2" spans="1:13">
      <c r="A2" t="s">
        <v>2</v>
      </c>
      <c r="B2">
        <v>592</v>
      </c>
      <c r="C2">
        <v>157</v>
      </c>
      <c r="D2">
        <v>480</v>
      </c>
      <c r="E2">
        <v>391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29</v>
      </c>
      <c r="M2">
        <v>1649</v>
      </c>
    </row>
    <row r="3" spans="1:13">
      <c r="A3" t="s">
        <v>3</v>
      </c>
      <c r="B3">
        <v>17</v>
      </c>
      <c r="C3">
        <v>536</v>
      </c>
      <c r="D3">
        <v>32</v>
      </c>
      <c r="E3">
        <v>138</v>
      </c>
      <c r="F3">
        <v>278</v>
      </c>
      <c r="G3">
        <v>183</v>
      </c>
      <c r="H3">
        <v>76</v>
      </c>
      <c r="I3">
        <v>137</v>
      </c>
      <c r="J3">
        <v>119</v>
      </c>
      <c r="K3">
        <v>65</v>
      </c>
      <c r="L3">
        <v>1</v>
      </c>
      <c r="M3">
        <v>1582</v>
      </c>
    </row>
    <row r="4" spans="1:13">
      <c r="A4" t="s">
        <v>4</v>
      </c>
      <c r="B4">
        <v>532</v>
      </c>
      <c r="C4">
        <v>129</v>
      </c>
      <c r="D4">
        <v>381</v>
      </c>
      <c r="E4">
        <v>157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</v>
      </c>
      <c r="M4">
        <v>1205</v>
      </c>
    </row>
    <row r="5" spans="1:13">
      <c r="A5" t="s">
        <v>5</v>
      </c>
      <c r="B5">
        <v>8</v>
      </c>
      <c r="C5">
        <v>117</v>
      </c>
      <c r="D5">
        <v>22</v>
      </c>
      <c r="E5">
        <v>53</v>
      </c>
      <c r="F5">
        <v>57</v>
      </c>
      <c r="G5">
        <v>66</v>
      </c>
      <c r="H5">
        <v>180</v>
      </c>
      <c r="I5">
        <v>31</v>
      </c>
      <c r="J5">
        <v>41</v>
      </c>
      <c r="K5">
        <v>77</v>
      </c>
      <c r="L5">
        <v>2</v>
      </c>
      <c r="M5">
        <v>654</v>
      </c>
    </row>
    <row r="6" spans="1:13">
      <c r="A6" t="s">
        <v>6</v>
      </c>
      <c r="B6">
        <v>5</v>
      </c>
      <c r="C6">
        <v>54</v>
      </c>
      <c r="D6">
        <v>15</v>
      </c>
      <c r="E6">
        <v>31</v>
      </c>
      <c r="F6">
        <v>46</v>
      </c>
      <c r="G6">
        <v>77</v>
      </c>
      <c r="H6">
        <v>138</v>
      </c>
      <c r="I6">
        <v>42</v>
      </c>
      <c r="J6">
        <v>65</v>
      </c>
      <c r="K6">
        <v>40</v>
      </c>
      <c r="L6">
        <v>0</v>
      </c>
      <c r="M6">
        <v>513</v>
      </c>
    </row>
    <row r="7" spans="1:13">
      <c r="A7" t="s">
        <v>7</v>
      </c>
      <c r="B7">
        <v>42</v>
      </c>
      <c r="C7">
        <v>283</v>
      </c>
      <c r="D7">
        <v>31</v>
      </c>
      <c r="E7">
        <v>111</v>
      </c>
      <c r="F7">
        <v>0</v>
      </c>
      <c r="G7">
        <v>0</v>
      </c>
      <c r="H7">
        <v>0</v>
      </c>
      <c r="I7">
        <v>18</v>
      </c>
      <c r="J7">
        <v>0</v>
      </c>
      <c r="K7">
        <v>0</v>
      </c>
      <c r="L7">
        <v>3</v>
      </c>
      <c r="M7">
        <v>488</v>
      </c>
    </row>
    <row r="8" spans="1:13">
      <c r="A8" t="s">
        <v>8</v>
      </c>
      <c r="B8">
        <v>273</v>
      </c>
      <c r="C8">
        <v>0</v>
      </c>
      <c r="D8">
        <v>7</v>
      </c>
      <c r="E8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</v>
      </c>
      <c r="M8">
        <v>309</v>
      </c>
    </row>
    <row r="9" spans="1:13">
      <c r="A9" t="s">
        <v>9</v>
      </c>
      <c r="B9">
        <v>75</v>
      </c>
      <c r="C9">
        <v>0</v>
      </c>
      <c r="D9">
        <v>40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119</v>
      </c>
    </row>
    <row r="10" spans="1:13">
      <c r="A10" t="s">
        <v>10</v>
      </c>
      <c r="B10">
        <v>15</v>
      </c>
      <c r="C10">
        <v>2</v>
      </c>
      <c r="D10">
        <v>68</v>
      </c>
      <c r="E10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108</v>
      </c>
    </row>
    <row r="11" spans="1:13">
      <c r="A11" t="s">
        <v>11</v>
      </c>
      <c r="B11">
        <v>58</v>
      </c>
      <c r="C11">
        <v>0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64</v>
      </c>
    </row>
    <row r="12" spans="1:13">
      <c r="A12" t="s">
        <v>12</v>
      </c>
      <c r="B12">
        <v>4</v>
      </c>
      <c r="C12">
        <v>0</v>
      </c>
      <c r="D12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zoomScale="85" zoomScaleNormal="85" workbookViewId="0">
      <selection activeCell="M7" sqref="M7"/>
    </sheetView>
  </sheetViews>
  <sheetFormatPr defaultColWidth="8.88888888888889" defaultRowHeight="14.4"/>
  <cols>
    <col min="14" max="14" width="8.88888888888889" style="1"/>
  </cols>
  <sheetData>
    <row r="1" ht="16.35" spans="1:16">
      <c r="A1" s="2" t="s">
        <v>13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 t="s">
        <v>1</v>
      </c>
      <c r="N1" s="1" t="s">
        <v>14</v>
      </c>
      <c r="O1" s="3" t="s">
        <v>15</v>
      </c>
    </row>
    <row r="2" ht="15.75" spans="1:16">
      <c r="A2" s="4" t="s">
        <v>16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5">
        <v>157</v>
      </c>
      <c r="I2" s="5">
        <v>391</v>
      </c>
      <c r="J2" s="5">
        <v>480</v>
      </c>
      <c r="K2" s="5">
        <v>592</v>
      </c>
      <c r="L2" s="5">
        <v>29</v>
      </c>
      <c r="M2" s="4">
        <v>1649</v>
      </c>
      <c r="N2" s="1">
        <f>SUM(H2:L2)</f>
        <v>1649</v>
      </c>
      <c r="O2" s="6">
        <v>1092</v>
      </c>
      <c r="P2">
        <f>N2*O2</f>
        <v>1800708</v>
      </c>
    </row>
    <row r="3" ht="15.75" spans="1:16">
      <c r="A3" s="4" t="s">
        <v>17</v>
      </c>
      <c r="B3" s="4">
        <v>76</v>
      </c>
      <c r="C3" s="4">
        <v>183</v>
      </c>
      <c r="D3" s="4">
        <v>278</v>
      </c>
      <c r="E3" s="4">
        <v>65</v>
      </c>
      <c r="F3" s="4">
        <v>119</v>
      </c>
      <c r="G3" s="4">
        <v>137</v>
      </c>
      <c r="H3" s="4">
        <v>536</v>
      </c>
      <c r="I3" s="4">
        <v>138</v>
      </c>
      <c r="J3" s="4">
        <v>32</v>
      </c>
      <c r="K3" s="4">
        <v>17</v>
      </c>
      <c r="L3" s="4">
        <v>1</v>
      </c>
      <c r="M3" s="4">
        <v>1582</v>
      </c>
      <c r="N3" s="1">
        <f t="shared" ref="N3:N12" si="0">SUM(H3:L3)</f>
        <v>724</v>
      </c>
      <c r="O3" s="6">
        <v>737</v>
      </c>
      <c r="P3">
        <f t="shared" ref="P3:P12" si="1">N3*O3</f>
        <v>533588</v>
      </c>
    </row>
    <row r="4" ht="30.75" spans="1:16">
      <c r="A4" s="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5">
        <v>129</v>
      </c>
      <c r="I4" s="5">
        <v>157</v>
      </c>
      <c r="J4" s="5">
        <v>381</v>
      </c>
      <c r="K4" s="5">
        <v>532</v>
      </c>
      <c r="L4" s="5">
        <v>6</v>
      </c>
      <c r="M4" s="4">
        <v>1205</v>
      </c>
      <c r="N4" s="1">
        <f t="shared" si="0"/>
        <v>1205</v>
      </c>
      <c r="O4" s="6">
        <v>1148</v>
      </c>
      <c r="P4">
        <f t="shared" si="1"/>
        <v>1383340</v>
      </c>
    </row>
    <row r="5" ht="15.75" spans="1:16">
      <c r="A5" s="4" t="s">
        <v>5</v>
      </c>
      <c r="B5" s="4">
        <v>180</v>
      </c>
      <c r="C5" s="4">
        <v>66</v>
      </c>
      <c r="D5" s="4">
        <v>57</v>
      </c>
      <c r="E5" s="4">
        <v>77</v>
      </c>
      <c r="F5" s="4">
        <v>41</v>
      </c>
      <c r="G5" s="4">
        <v>31</v>
      </c>
      <c r="H5" s="4">
        <v>117</v>
      </c>
      <c r="I5" s="4">
        <v>53</v>
      </c>
      <c r="J5" s="4">
        <v>22</v>
      </c>
      <c r="K5" s="4">
        <v>8</v>
      </c>
      <c r="L5" s="4">
        <v>2</v>
      </c>
      <c r="M5" s="4">
        <v>654</v>
      </c>
      <c r="N5" s="1">
        <f t="shared" si="0"/>
        <v>202</v>
      </c>
      <c r="O5" s="6">
        <v>470</v>
      </c>
      <c r="P5">
        <f t="shared" si="1"/>
        <v>94940</v>
      </c>
    </row>
    <row r="6" ht="15.75" spans="1:16">
      <c r="A6" s="4" t="s">
        <v>6</v>
      </c>
      <c r="B6" s="4">
        <v>138</v>
      </c>
      <c r="C6" s="4">
        <v>77</v>
      </c>
      <c r="D6" s="4">
        <v>46</v>
      </c>
      <c r="E6" s="4">
        <v>40</v>
      </c>
      <c r="F6" s="4">
        <v>65</v>
      </c>
      <c r="G6" s="4">
        <v>42</v>
      </c>
      <c r="H6" s="7">
        <v>54</v>
      </c>
      <c r="I6" s="7">
        <v>31</v>
      </c>
      <c r="J6" s="7">
        <v>15</v>
      </c>
      <c r="K6" s="7">
        <v>5</v>
      </c>
      <c r="L6" s="7">
        <v>0</v>
      </c>
      <c r="M6" s="4">
        <v>513</v>
      </c>
      <c r="N6" s="1">
        <f t="shared" si="0"/>
        <v>105</v>
      </c>
      <c r="O6" s="6">
        <v>463</v>
      </c>
      <c r="P6">
        <f t="shared" si="1"/>
        <v>48615</v>
      </c>
    </row>
    <row r="7" ht="30.75" spans="1:16">
      <c r="A7" s="4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18</v>
      </c>
      <c r="H7" s="4">
        <v>283</v>
      </c>
      <c r="I7" s="4">
        <v>111</v>
      </c>
      <c r="J7" s="4">
        <v>31</v>
      </c>
      <c r="K7" s="4">
        <v>42</v>
      </c>
      <c r="L7" s="4">
        <v>3</v>
      </c>
      <c r="M7" s="4">
        <v>488</v>
      </c>
      <c r="N7" s="1">
        <f t="shared" si="0"/>
        <v>470</v>
      </c>
      <c r="O7" s="6">
        <v>828</v>
      </c>
      <c r="P7">
        <f t="shared" si="1"/>
        <v>389160</v>
      </c>
    </row>
    <row r="8" ht="15.75" spans="1:16">
      <c r="A8" s="4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I8" s="5">
        <v>21</v>
      </c>
      <c r="J8" s="5">
        <v>7</v>
      </c>
      <c r="K8" s="5">
        <v>273</v>
      </c>
      <c r="L8" s="5">
        <v>8</v>
      </c>
      <c r="M8" s="4">
        <v>309</v>
      </c>
      <c r="N8" s="1">
        <f t="shared" si="0"/>
        <v>309</v>
      </c>
      <c r="O8" s="6">
        <v>973</v>
      </c>
      <c r="P8">
        <f t="shared" si="1"/>
        <v>300657</v>
      </c>
    </row>
    <row r="9" ht="15.75" spans="1:16">
      <c r="A9" s="4" t="s">
        <v>19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5">
        <v>0</v>
      </c>
      <c r="I9" s="5">
        <v>1</v>
      </c>
      <c r="J9" s="5">
        <v>40</v>
      </c>
      <c r="K9" s="5">
        <v>75</v>
      </c>
      <c r="L9" s="5">
        <v>3</v>
      </c>
      <c r="M9" s="4">
        <v>119</v>
      </c>
      <c r="N9" s="1">
        <f t="shared" si="0"/>
        <v>119</v>
      </c>
      <c r="O9" s="6">
        <v>627</v>
      </c>
      <c r="P9">
        <f t="shared" si="1"/>
        <v>74613</v>
      </c>
    </row>
    <row r="10" ht="15.75" spans="1:16">
      <c r="A10" s="4" t="s">
        <v>20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5">
        <v>2</v>
      </c>
      <c r="I10" s="5">
        <v>23</v>
      </c>
      <c r="J10" s="5">
        <v>68</v>
      </c>
      <c r="K10" s="5">
        <v>15</v>
      </c>
      <c r="L10" s="5">
        <v>0</v>
      </c>
      <c r="M10" s="4">
        <v>108</v>
      </c>
      <c r="N10" s="1">
        <f t="shared" si="0"/>
        <v>108</v>
      </c>
      <c r="O10" s="6">
        <v>756</v>
      </c>
      <c r="P10">
        <f t="shared" si="1"/>
        <v>81648</v>
      </c>
    </row>
    <row r="11" ht="30.75" spans="1:16">
      <c r="A11" s="4" t="s">
        <v>21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5">
        <v>0</v>
      </c>
      <c r="I11" s="5">
        <v>0</v>
      </c>
      <c r="J11" s="5">
        <v>6</v>
      </c>
      <c r="K11" s="5">
        <v>58</v>
      </c>
      <c r="L11" s="5">
        <v>0</v>
      </c>
      <c r="M11" s="4">
        <v>64</v>
      </c>
      <c r="N11" s="1">
        <f t="shared" si="0"/>
        <v>64</v>
      </c>
      <c r="O11" s="6">
        <v>774</v>
      </c>
      <c r="P11">
        <f t="shared" si="1"/>
        <v>49536</v>
      </c>
    </row>
    <row r="12" ht="30.75" spans="1:16">
      <c r="A12" s="4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14</v>
      </c>
      <c r="K12" s="4">
        <v>4</v>
      </c>
      <c r="L12" s="4">
        <v>0</v>
      </c>
      <c r="M12" s="4">
        <v>18</v>
      </c>
      <c r="N12" s="1">
        <f t="shared" si="0"/>
        <v>18</v>
      </c>
      <c r="O12" s="6">
        <v>962</v>
      </c>
      <c r="P12">
        <f t="shared" si="1"/>
        <v>17316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车型评论数量统计_2016年后_纵向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TX。</cp:lastModifiedBy>
  <dcterms:created xsi:type="dcterms:W3CDTF">2026-03-17T02:18:13Z</dcterms:created>
  <dcterms:modified xsi:type="dcterms:W3CDTF">2026-03-17T02:35:22Z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671E1EE354FD4BC991BE86F0B942C1EE_13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